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R\USGS\Aftershocks\VS\oef04\oef\SOURCE\deploy\notes\priors2\"/>
    </mc:Choice>
  </mc:AlternateContent>
  <xr:revisionPtr revIDLastSave="0" documentId="13_ncr:1_{0F214EE5-731F-4CEC-9F51-F5063BA310F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bMixedEtasParams_202605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9" i="1" l="1"/>
  <c r="AE25" i="1"/>
  <c r="AE5" i="1"/>
  <c r="AE21" i="1" s="1"/>
  <c r="AE18" i="1"/>
  <c r="AE9" i="1"/>
  <c r="AD25" i="1"/>
  <c r="AD5" i="1"/>
  <c r="AD21" i="1" s="1"/>
  <c r="AD19" i="1"/>
  <c r="AD9" i="1"/>
  <c r="AC23" i="1"/>
  <c r="AC5" i="1"/>
  <c r="AC21" i="1" s="1"/>
  <c r="AC19" i="1"/>
  <c r="AC7" i="1"/>
  <c r="AB24" i="1"/>
  <c r="AB5" i="1"/>
  <c r="AB21" i="1" s="1"/>
  <c r="AB19" i="1"/>
  <c r="AB11" i="1"/>
  <c r="AA25" i="1"/>
  <c r="AA5" i="1"/>
  <c r="AA21" i="1" s="1"/>
  <c r="AA19" i="1"/>
  <c r="AA9" i="1"/>
  <c r="Z24" i="1"/>
  <c r="Z9" i="1"/>
  <c r="Z8" i="1"/>
  <c r="Z6" i="1"/>
  <c r="Z23" i="1" s="1"/>
  <c r="Z5" i="1"/>
  <c r="Z21" i="1" s="1"/>
  <c r="Z4" i="1"/>
  <c r="Z19" i="1" s="1"/>
  <c r="Z3" i="1"/>
  <c r="Z7" i="1" s="1"/>
  <c r="Y20" i="1"/>
  <c r="Y18" i="1"/>
  <c r="Y6" i="1"/>
  <c r="Y25" i="1" s="1"/>
  <c r="Y5" i="1"/>
  <c r="Y21" i="1" s="1"/>
  <c r="Y4" i="1"/>
  <c r="Y19" i="1" s="1"/>
  <c r="Y3" i="1"/>
  <c r="Y9" i="1" s="1"/>
  <c r="X6" i="1"/>
  <c r="X25" i="1" s="1"/>
  <c r="X5" i="1"/>
  <c r="X21" i="1" s="1"/>
  <c r="X4" i="1"/>
  <c r="X19" i="1" s="1"/>
  <c r="X3" i="1"/>
  <c r="X9" i="1" s="1"/>
  <c r="P3" i="1"/>
  <c r="P8" i="1" s="1"/>
  <c r="Q3" i="1"/>
  <c r="Q10" i="1" s="1"/>
  <c r="R3" i="1"/>
  <c r="R8" i="1" s="1"/>
  <c r="S3" i="1"/>
  <c r="S10" i="1" s="1"/>
  <c r="T3" i="1"/>
  <c r="T15" i="1" s="1"/>
  <c r="P4" i="1"/>
  <c r="P18" i="1" s="1"/>
  <c r="Q4" i="1"/>
  <c r="Q19" i="1" s="1"/>
  <c r="R4" i="1"/>
  <c r="R19" i="1" s="1"/>
  <c r="S4" i="1"/>
  <c r="S19" i="1" s="1"/>
  <c r="T4" i="1"/>
  <c r="T19" i="1" s="1"/>
  <c r="P5" i="1"/>
  <c r="P20" i="1" s="1"/>
  <c r="Q5" i="1"/>
  <c r="Q20" i="1" s="1"/>
  <c r="R5" i="1"/>
  <c r="R20" i="1" s="1"/>
  <c r="S5" i="1"/>
  <c r="S20" i="1" s="1"/>
  <c r="T5" i="1"/>
  <c r="T20" i="1" s="1"/>
  <c r="U5" i="1"/>
  <c r="V5" i="1"/>
  <c r="V21" i="1" s="1"/>
  <c r="W5" i="1"/>
  <c r="W20" i="1" s="1"/>
  <c r="P6" i="1"/>
  <c r="Q6" i="1"/>
  <c r="Q25" i="1" s="1"/>
  <c r="R6" i="1"/>
  <c r="R23" i="1" s="1"/>
  <c r="S6" i="1"/>
  <c r="S23" i="1" s="1"/>
  <c r="T6" i="1"/>
  <c r="T23" i="1" s="1"/>
  <c r="P7" i="1"/>
  <c r="Q7" i="1"/>
  <c r="T7" i="1"/>
  <c r="T8" i="1"/>
  <c r="V8" i="1"/>
  <c r="W8" i="1"/>
  <c r="P9" i="1"/>
  <c r="Q9" i="1"/>
  <c r="R9" i="1"/>
  <c r="S9" i="1"/>
  <c r="T9" i="1"/>
  <c r="U9" i="1"/>
  <c r="V9" i="1"/>
  <c r="W9" i="1"/>
  <c r="T10" i="1"/>
  <c r="P11" i="1"/>
  <c r="Q11" i="1"/>
  <c r="R11" i="1"/>
  <c r="S11" i="1"/>
  <c r="T11" i="1"/>
  <c r="V11" i="1"/>
  <c r="W11" i="1"/>
  <c r="P13" i="1"/>
  <c r="Q13" i="1"/>
  <c r="R13" i="1"/>
  <c r="S13" i="1"/>
  <c r="T13" i="1"/>
  <c r="T14" i="1"/>
  <c r="P15" i="1"/>
  <c r="Q15" i="1"/>
  <c r="R15" i="1"/>
  <c r="S15" i="1"/>
  <c r="V15" i="1"/>
  <c r="W15" i="1"/>
  <c r="P17" i="1"/>
  <c r="Q17" i="1"/>
  <c r="R17" i="1"/>
  <c r="S17" i="1"/>
  <c r="T17" i="1"/>
  <c r="Q18" i="1"/>
  <c r="R18" i="1"/>
  <c r="S18" i="1"/>
  <c r="T18" i="1"/>
  <c r="U18" i="1"/>
  <c r="V18" i="1"/>
  <c r="W18" i="1"/>
  <c r="P19" i="1"/>
  <c r="U20" i="1"/>
  <c r="P21" i="1"/>
  <c r="U21" i="1"/>
  <c r="W21" i="1"/>
  <c r="P22" i="1"/>
  <c r="R22" i="1"/>
  <c r="S22" i="1"/>
  <c r="T22" i="1"/>
  <c r="P23" i="1"/>
  <c r="Q23" i="1"/>
  <c r="P24" i="1"/>
  <c r="Q24" i="1"/>
  <c r="R24" i="1"/>
  <c r="S24" i="1"/>
  <c r="P25" i="1"/>
  <c r="R25" i="1"/>
  <c r="S25" i="1"/>
  <c r="O23" i="1"/>
  <c r="O20" i="1"/>
  <c r="O19" i="1"/>
  <c r="O17" i="1"/>
  <c r="O16" i="1"/>
  <c r="O15" i="1"/>
  <c r="O14" i="1"/>
  <c r="O13" i="1"/>
  <c r="O12" i="1"/>
  <c r="O11" i="1"/>
  <c r="O10" i="1"/>
  <c r="O6" i="1"/>
  <c r="O25" i="1" s="1"/>
  <c r="O5" i="1"/>
  <c r="O21" i="1" s="1"/>
  <c r="O4" i="1"/>
  <c r="O18" i="1" s="1"/>
  <c r="O3" i="1"/>
  <c r="O9" i="1" s="1"/>
  <c r="C7" i="1"/>
  <c r="G7" i="1"/>
  <c r="H7" i="1"/>
  <c r="I7" i="1"/>
  <c r="J7" i="1"/>
  <c r="K7" i="1"/>
  <c r="C8" i="1"/>
  <c r="G8" i="1"/>
  <c r="H8" i="1"/>
  <c r="I8" i="1"/>
  <c r="J8" i="1"/>
  <c r="K8" i="1"/>
  <c r="L8" i="1"/>
  <c r="M8" i="1"/>
  <c r="N8" i="1"/>
  <c r="C9" i="1"/>
  <c r="G9" i="1"/>
  <c r="H9" i="1"/>
  <c r="I9" i="1"/>
  <c r="J9" i="1"/>
  <c r="K9" i="1"/>
  <c r="L9" i="1"/>
  <c r="M9" i="1"/>
  <c r="N9" i="1"/>
  <c r="C10" i="1"/>
  <c r="F10" i="1"/>
  <c r="G10" i="1"/>
  <c r="H10" i="1"/>
  <c r="I10" i="1"/>
  <c r="J10" i="1"/>
  <c r="K10" i="1"/>
  <c r="C11" i="1"/>
  <c r="G11" i="1"/>
  <c r="H11" i="1"/>
  <c r="I11" i="1"/>
  <c r="J11" i="1"/>
  <c r="K11" i="1"/>
  <c r="L11" i="1"/>
  <c r="M11" i="1"/>
  <c r="N11" i="1"/>
  <c r="C12" i="1"/>
  <c r="G12" i="1"/>
  <c r="H12" i="1"/>
  <c r="I12" i="1"/>
  <c r="J12" i="1"/>
  <c r="K12" i="1"/>
  <c r="C13" i="1"/>
  <c r="H13" i="1"/>
  <c r="I13" i="1"/>
  <c r="J13" i="1"/>
  <c r="K13" i="1"/>
  <c r="C14" i="1"/>
  <c r="F14" i="1"/>
  <c r="G14" i="1"/>
  <c r="H14" i="1"/>
  <c r="I14" i="1"/>
  <c r="J14" i="1"/>
  <c r="K14" i="1"/>
  <c r="C15" i="1"/>
  <c r="G15" i="1"/>
  <c r="H15" i="1"/>
  <c r="I15" i="1"/>
  <c r="J15" i="1"/>
  <c r="K15" i="1"/>
  <c r="C16" i="1"/>
  <c r="F16" i="1"/>
  <c r="G16" i="1"/>
  <c r="H16" i="1"/>
  <c r="I16" i="1"/>
  <c r="J16" i="1"/>
  <c r="K16" i="1"/>
  <c r="C17" i="1"/>
  <c r="F17" i="1"/>
  <c r="G17" i="1"/>
  <c r="H17" i="1"/>
  <c r="I17" i="1"/>
  <c r="J17" i="1"/>
  <c r="K17" i="1"/>
  <c r="C18" i="1"/>
  <c r="H18" i="1"/>
  <c r="L18" i="1"/>
  <c r="M18" i="1"/>
  <c r="N18" i="1"/>
  <c r="C19" i="1"/>
  <c r="G19" i="1"/>
  <c r="H19" i="1"/>
  <c r="C20" i="1"/>
  <c r="F20" i="1"/>
  <c r="J20" i="1"/>
  <c r="K20" i="1"/>
  <c r="L20" i="1"/>
  <c r="N20" i="1"/>
  <c r="C21" i="1"/>
  <c r="H21" i="1"/>
  <c r="I21" i="1"/>
  <c r="J21" i="1"/>
  <c r="K21" i="1"/>
  <c r="N21" i="1"/>
  <c r="C22" i="1"/>
  <c r="F22" i="1"/>
  <c r="H22" i="1"/>
  <c r="I22" i="1"/>
  <c r="J22" i="1"/>
  <c r="K22" i="1"/>
  <c r="C23" i="1"/>
  <c r="G23" i="1"/>
  <c r="H23" i="1"/>
  <c r="I23" i="1"/>
  <c r="J23" i="1"/>
  <c r="K23" i="1"/>
  <c r="C24" i="1"/>
  <c r="F24" i="1"/>
  <c r="H24" i="1"/>
  <c r="I24" i="1"/>
  <c r="J24" i="1"/>
  <c r="K24" i="1"/>
  <c r="C25" i="1"/>
  <c r="F25" i="1"/>
  <c r="G25" i="1"/>
  <c r="H25" i="1"/>
  <c r="I25" i="1"/>
  <c r="J25" i="1"/>
  <c r="K25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E3" i="1"/>
  <c r="E10" i="1" s="1"/>
  <c r="F3" i="1"/>
  <c r="F12" i="1" s="1"/>
  <c r="G3" i="1"/>
  <c r="G13" i="1" s="1"/>
  <c r="E4" i="1"/>
  <c r="E19" i="1" s="1"/>
  <c r="F4" i="1"/>
  <c r="F19" i="1" s="1"/>
  <c r="G4" i="1"/>
  <c r="G18" i="1" s="1"/>
  <c r="I18" i="1"/>
  <c r="J18" i="1"/>
  <c r="K19" i="1"/>
  <c r="E5" i="1"/>
  <c r="E20" i="1" s="1"/>
  <c r="F5" i="1"/>
  <c r="F21" i="1" s="1"/>
  <c r="G5" i="1"/>
  <c r="G20" i="1" s="1"/>
  <c r="H5" i="1"/>
  <c r="H20" i="1" s="1"/>
  <c r="I5" i="1"/>
  <c r="I20" i="1" s="1"/>
  <c r="J5" i="1"/>
  <c r="K5" i="1"/>
  <c r="L5" i="1"/>
  <c r="L21" i="1" s="1"/>
  <c r="M5" i="1"/>
  <c r="M20" i="1" s="1"/>
  <c r="N5" i="1"/>
  <c r="E6" i="1"/>
  <c r="E22" i="1" s="1"/>
  <c r="F6" i="1"/>
  <c r="F23" i="1" s="1"/>
  <c r="G6" i="1"/>
  <c r="G24" i="1" s="1"/>
  <c r="D6" i="1"/>
  <c r="D23" i="1" s="1"/>
  <c r="D5" i="1"/>
  <c r="D20" i="1" s="1"/>
  <c r="D4" i="1"/>
  <c r="D19" i="1" s="1"/>
  <c r="D3" i="1"/>
  <c r="D7" i="1" s="1"/>
  <c r="C5" i="1"/>
  <c r="C6" i="1"/>
  <c r="C4" i="1"/>
  <c r="C3" i="1"/>
  <c r="B6" i="1"/>
  <c r="B5" i="1"/>
  <c r="B4" i="1"/>
  <c r="B3" i="1"/>
  <c r="V20" i="1" l="1"/>
  <c r="U15" i="1"/>
  <c r="U11" i="1"/>
  <c r="U8" i="1"/>
  <c r="AE14" i="1"/>
  <c r="AE10" i="1"/>
  <c r="AE11" i="1"/>
  <c r="AE15" i="1"/>
  <c r="AE16" i="1"/>
  <c r="AE7" i="1"/>
  <c r="AE12" i="1"/>
  <c r="AE13" i="1"/>
  <c r="AE17" i="1"/>
  <c r="K18" i="1"/>
  <c r="J19" i="1"/>
  <c r="I19" i="1"/>
  <c r="G21" i="1"/>
  <c r="G22" i="1"/>
  <c r="F18" i="1"/>
  <c r="F13" i="1"/>
  <c r="F8" i="1"/>
  <c r="F9" i="1"/>
  <c r="F11" i="1"/>
  <c r="F15" i="1"/>
  <c r="F7" i="1"/>
  <c r="D18" i="1"/>
  <c r="T21" i="1"/>
  <c r="T12" i="1"/>
  <c r="T24" i="1"/>
  <c r="T16" i="1"/>
  <c r="S21" i="1"/>
  <c r="R21" i="1"/>
  <c r="Q21" i="1"/>
  <c r="Q22" i="1"/>
  <c r="D16" i="1"/>
  <c r="D11" i="1"/>
  <c r="D22" i="1"/>
  <c r="D13" i="1"/>
  <c r="D21" i="1"/>
  <c r="D24" i="1"/>
  <c r="E13" i="1"/>
  <c r="E11" i="1"/>
  <c r="E8" i="1"/>
  <c r="E16" i="1"/>
  <c r="E17" i="1"/>
  <c r="E15" i="1"/>
  <c r="E25" i="1"/>
  <c r="E23" i="1"/>
  <c r="E21" i="1"/>
  <c r="E24" i="1"/>
  <c r="E7" i="1"/>
  <c r="E12" i="1"/>
  <c r="E18" i="1"/>
  <c r="E14" i="1"/>
  <c r="E9" i="1"/>
  <c r="D8" i="1"/>
  <c r="D14" i="1"/>
  <c r="D12" i="1"/>
  <c r="D9" i="1"/>
  <c r="D17" i="1"/>
  <c r="D25" i="1"/>
  <c r="D15" i="1"/>
  <c r="D10" i="1"/>
  <c r="Z25" i="1"/>
  <c r="Z15" i="1"/>
  <c r="Z10" i="1"/>
  <c r="Z11" i="1"/>
  <c r="Z12" i="1"/>
  <c r="Z13" i="1"/>
  <c r="Z14" i="1"/>
  <c r="Z16" i="1"/>
  <c r="Z17" i="1"/>
  <c r="Z18" i="1"/>
  <c r="Z20" i="1"/>
  <c r="Y10" i="1"/>
  <c r="Y11" i="1"/>
  <c r="Y14" i="1"/>
  <c r="Y12" i="1"/>
  <c r="Y13" i="1"/>
  <c r="Y16" i="1"/>
  <c r="Y15" i="1"/>
  <c r="Y17" i="1"/>
  <c r="AA8" i="1"/>
  <c r="AA7" i="1"/>
  <c r="AA10" i="1"/>
  <c r="AD20" i="1"/>
  <c r="AB12" i="1"/>
  <c r="AB7" i="1"/>
  <c r="AA15" i="1"/>
  <c r="AA16" i="1"/>
  <c r="AC15" i="1"/>
  <c r="AC12" i="1"/>
  <c r="AB13" i="1"/>
  <c r="AC13" i="1"/>
  <c r="AA17" i="1"/>
  <c r="AB14" i="1"/>
  <c r="AC14" i="1"/>
  <c r="AA18" i="1"/>
  <c r="AB15" i="1"/>
  <c r="AB16" i="1"/>
  <c r="AC16" i="1"/>
  <c r="AA23" i="1"/>
  <c r="AB17" i="1"/>
  <c r="AC17" i="1"/>
  <c r="AA24" i="1"/>
  <c r="AB18" i="1"/>
  <c r="AC18" i="1"/>
  <c r="AC24" i="1"/>
  <c r="AC25" i="1"/>
  <c r="AA11" i="1"/>
  <c r="AB8" i="1"/>
  <c r="AC8" i="1"/>
  <c r="AA12" i="1"/>
  <c r="AB9" i="1"/>
  <c r="AC9" i="1"/>
  <c r="AA13" i="1"/>
  <c r="AB10" i="1"/>
  <c r="AC10" i="1"/>
  <c r="AD18" i="1"/>
  <c r="AA14" i="1"/>
  <c r="AC11" i="1"/>
  <c r="AE20" i="1"/>
  <c r="AE22" i="1"/>
  <c r="AE23" i="1"/>
  <c r="AE8" i="1"/>
  <c r="AE24" i="1"/>
  <c r="AD23" i="1"/>
  <c r="AD8" i="1"/>
  <c r="AD10" i="1"/>
  <c r="AD22" i="1"/>
  <c r="AD7" i="1"/>
  <c r="AD24" i="1"/>
  <c r="AD11" i="1"/>
  <c r="AD14" i="1"/>
  <c r="AD15" i="1"/>
  <c r="AD12" i="1"/>
  <c r="AD13" i="1"/>
  <c r="AD16" i="1"/>
  <c r="AD17" i="1"/>
  <c r="AC20" i="1"/>
  <c r="AC22" i="1"/>
  <c r="AB23" i="1"/>
  <c r="AB25" i="1"/>
  <c r="AB20" i="1"/>
  <c r="AB22" i="1"/>
  <c r="AA20" i="1"/>
  <c r="AA22" i="1"/>
  <c r="Z22" i="1"/>
  <c r="Y22" i="1"/>
  <c r="Y23" i="1"/>
  <c r="Y7" i="1"/>
  <c r="Y8" i="1"/>
  <c r="Y24" i="1"/>
  <c r="X7" i="1"/>
  <c r="X8" i="1"/>
  <c r="X10" i="1"/>
  <c r="X11" i="1"/>
  <c r="X12" i="1"/>
  <c r="X13" i="1"/>
  <c r="X14" i="1"/>
  <c r="X15" i="1"/>
  <c r="X16" i="1"/>
  <c r="X17" i="1"/>
  <c r="X18" i="1"/>
  <c r="X20" i="1"/>
  <c r="X22" i="1"/>
  <c r="X23" i="1"/>
  <c r="X24" i="1"/>
  <c r="M21" i="1"/>
  <c r="R7" i="1"/>
  <c r="S7" i="1"/>
  <c r="S16" i="1"/>
  <c r="S14" i="1"/>
  <c r="S12" i="1"/>
  <c r="S8" i="1"/>
  <c r="R16" i="1"/>
  <c r="R14" i="1"/>
  <c r="R12" i="1"/>
  <c r="R10" i="1"/>
  <c r="Q8" i="1"/>
  <c r="Q16" i="1"/>
  <c r="Q14" i="1"/>
  <c r="Q12" i="1"/>
  <c r="P16" i="1"/>
  <c r="P14" i="1"/>
  <c r="P12" i="1"/>
  <c r="P10" i="1"/>
  <c r="T25" i="1"/>
  <c r="O22" i="1"/>
  <c r="O8" i="1"/>
  <c r="O24" i="1"/>
  <c r="O7" i="1"/>
</calcChain>
</file>

<file path=xl/sharedStrings.xml><?xml version="1.0" encoding="utf-8"?>
<sst xmlns="http://schemas.openxmlformats.org/spreadsheetml/2006/main" count="55" uniqueCount="55">
  <si>
    <t>regionName</t>
  </si>
  <si>
    <t>ANSR-ABSLDEC</t>
  </si>
  <si>
    <t>ANSR-ABSLOCB</t>
  </si>
  <si>
    <t>ANSR-ABSLSHC</t>
  </si>
  <si>
    <t>ANSR-DEEPCON</t>
  </si>
  <si>
    <t>ANSR-HOTSPOT</t>
  </si>
  <si>
    <t>ANSR-OCEANBD</t>
  </si>
  <si>
    <t>ANSR-SHALCON</t>
  </si>
  <si>
    <t>SCR-GENERIC</t>
  </si>
  <si>
    <t>SOR-GENERIC</t>
  </si>
  <si>
    <t>SZ-GENERIC</t>
  </si>
  <si>
    <t>SZ-INLBACK</t>
  </si>
  <si>
    <t>SZ-ONSHORE</t>
  </si>
  <si>
    <t>SZ-OUTERTR</t>
  </si>
  <si>
    <t>SOR-ABVSLAB</t>
  </si>
  <si>
    <t>SCR-ABVSLAB</t>
  </si>
  <si>
    <t>ANSR</t>
  </si>
  <si>
    <t>SCR</t>
  </si>
  <si>
    <t>SOR</t>
  </si>
  <si>
    <t>SZ</t>
  </si>
  <si>
    <t>GLOBAL</t>
  </si>
  <si>
    <t>CAL-HYDROTHERMAL</t>
  </si>
  <si>
    <t>CAL-MENDOCINO</t>
  </si>
  <si>
    <t>CAL-NCSS</t>
  </si>
  <si>
    <t>CAL-SCSN</t>
  </si>
  <si>
    <t>rtx0</t>
  </si>
  <si>
    <t>rty0</t>
  </si>
  <si>
    <t>rtx1</t>
  </si>
  <si>
    <t>rty1</t>
  </si>
  <si>
    <t>rtx2</t>
  </si>
  <si>
    <t>rty2</t>
  </si>
  <si>
    <t>cmu</t>
  </si>
  <si>
    <t>csigma</t>
  </si>
  <si>
    <t>pmu</t>
  </si>
  <si>
    <t>psigma</t>
  </si>
  <si>
    <t>nzeta</t>
  </si>
  <si>
    <t>nomega</t>
  </si>
  <si>
    <t>nalpha</t>
  </si>
  <si>
    <t>alt_rtx0</t>
  </si>
  <si>
    <t>alt_rty0</t>
  </si>
  <si>
    <t>alt_rtx1</t>
  </si>
  <si>
    <t>alt_rty1</t>
  </si>
  <si>
    <t>alt_rtx2</t>
  </si>
  <si>
    <t>alt_rty2</t>
  </si>
  <si>
    <t>alt_nzeta</t>
  </si>
  <si>
    <t>alt_nomega</t>
  </si>
  <si>
    <t>alt_nalpha</t>
  </si>
  <si>
    <t>zams_dist</t>
  </si>
  <si>
    <t>n_dist</t>
  </si>
  <si>
    <t>bv_cpdist</t>
  </si>
  <si>
    <t>bv_cpcorr</t>
  </si>
  <si>
    <t>bv_cmu</t>
  </si>
  <si>
    <t>bv_csigma</t>
  </si>
  <si>
    <t>bv_pmu</t>
  </si>
  <si>
    <t>bv_psigma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</si>
</sst>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0.85546875" customWidth="1"/>
    <col min="2" max="2" width="10" customWidth="1"/>
    <col min="24" max="31" width="10" customWidth="1"/>
  </cols>
  <sheetData>
    <row r="1" spans="1:31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</row>
    <row r="2" spans="1:31" x14ac:dyDescent="0.25">
      <c r="A2" t="s">
        <v>20</v>
      </c>
      <c r="B2">
        <v>0</v>
      </c>
      <c r="C2">
        <v>1000</v>
      </c>
      <c r="D2">
        <v>-0.61</v>
      </c>
      <c r="E2">
        <v>339</v>
      </c>
      <c r="F2">
        <v>0.54</v>
      </c>
      <c r="G2">
        <v>105</v>
      </c>
      <c r="H2">
        <v>1.0500000000000001E-2</v>
      </c>
      <c r="I2">
        <v>1.405</v>
      </c>
      <c r="J2">
        <v>1.0549999999999999</v>
      </c>
      <c r="K2">
        <v>0.19</v>
      </c>
      <c r="L2">
        <v>0.59</v>
      </c>
      <c r="M2">
        <v>0.7</v>
      </c>
      <c r="N2">
        <v>-2.7</v>
      </c>
      <c r="O2">
        <v>0</v>
      </c>
      <c r="P2">
        <v>1000</v>
      </c>
      <c r="Q2">
        <v>-0.95</v>
      </c>
      <c r="R2">
        <v>322</v>
      </c>
      <c r="S2">
        <v>1.53</v>
      </c>
      <c r="T2">
        <v>94</v>
      </c>
      <c r="U2">
        <v>0.7</v>
      </c>
      <c r="V2">
        <v>0.45</v>
      </c>
      <c r="W2">
        <v>-2.5</v>
      </c>
      <c r="X2">
        <v>1</v>
      </c>
      <c r="Y2">
        <v>1</v>
      </c>
      <c r="Z2">
        <v>5</v>
      </c>
      <c r="AA2">
        <v>0.63</v>
      </c>
      <c r="AB2">
        <v>5.0000000000000001E-3</v>
      </c>
      <c r="AC2">
        <v>1.75</v>
      </c>
      <c r="AD2">
        <v>1.07</v>
      </c>
      <c r="AE2">
        <v>0.24</v>
      </c>
    </row>
    <row r="3" spans="1:31" x14ac:dyDescent="0.25">
      <c r="A3" t="s">
        <v>16</v>
      </c>
      <c r="B3">
        <f>B2</f>
        <v>0</v>
      </c>
      <c r="C3">
        <f>C2</f>
        <v>1000</v>
      </c>
      <c r="D3">
        <f>D2</f>
        <v>-0.61</v>
      </c>
      <c r="E3">
        <f t="shared" ref="E3:G3" si="0">E2</f>
        <v>339</v>
      </c>
      <c r="F3">
        <f t="shared" si="0"/>
        <v>0.54</v>
      </c>
      <c r="G3">
        <f t="shared" si="0"/>
        <v>105</v>
      </c>
      <c r="H3">
        <v>5.0000000000000001E-3</v>
      </c>
      <c r="I3">
        <v>1.385</v>
      </c>
      <c r="J3">
        <v>1.075</v>
      </c>
      <c r="K3">
        <v>0.15</v>
      </c>
      <c r="L3">
        <v>0.62</v>
      </c>
      <c r="M3">
        <v>0.68</v>
      </c>
      <c r="N3">
        <v>-3.4</v>
      </c>
      <c r="O3">
        <f>O2</f>
        <v>0</v>
      </c>
      <c r="P3">
        <f t="shared" ref="P3:T3" si="1">P2</f>
        <v>1000</v>
      </c>
      <c r="Q3">
        <f t="shared" si="1"/>
        <v>-0.95</v>
      </c>
      <c r="R3">
        <f t="shared" si="1"/>
        <v>322</v>
      </c>
      <c r="S3">
        <f t="shared" si="1"/>
        <v>1.53</v>
      </c>
      <c r="T3">
        <f t="shared" si="1"/>
        <v>94</v>
      </c>
      <c r="U3">
        <v>0.7</v>
      </c>
      <c r="V3">
        <v>0.44</v>
      </c>
      <c r="W3">
        <v>-3.4</v>
      </c>
      <c r="X3">
        <f>X2</f>
        <v>1</v>
      </c>
      <c r="Y3">
        <f>Y2</f>
        <v>1</v>
      </c>
      <c r="Z3">
        <f>Z2</f>
        <v>5</v>
      </c>
      <c r="AA3">
        <v>0.46</v>
      </c>
      <c r="AB3">
        <v>3.5000000000000001E-3</v>
      </c>
      <c r="AC3">
        <v>1.6</v>
      </c>
      <c r="AD3">
        <v>1.08</v>
      </c>
      <c r="AE3">
        <v>0.19</v>
      </c>
    </row>
    <row r="4" spans="1:31" x14ac:dyDescent="0.25">
      <c r="A4" t="s">
        <v>17</v>
      </c>
      <c r="B4">
        <f>B2</f>
        <v>0</v>
      </c>
      <c r="C4">
        <f>C2</f>
        <v>1000</v>
      </c>
      <c r="D4">
        <f>D2</f>
        <v>-0.61</v>
      </c>
      <c r="E4">
        <f t="shared" ref="E4:G4" si="2">E2</f>
        <v>339</v>
      </c>
      <c r="F4">
        <f t="shared" si="2"/>
        <v>0.54</v>
      </c>
      <c r="G4">
        <f t="shared" si="2"/>
        <v>105</v>
      </c>
      <c r="H4">
        <v>6.5000000000000002E-2</v>
      </c>
      <c r="I4">
        <v>0.97</v>
      </c>
      <c r="J4">
        <v>0.97499999999999998</v>
      </c>
      <c r="K4">
        <v>0.27</v>
      </c>
      <c r="L4">
        <v>0.31</v>
      </c>
      <c r="M4">
        <v>0.35</v>
      </c>
      <c r="N4">
        <v>-1.1000000000000001</v>
      </c>
      <c r="O4">
        <f>O2</f>
        <v>0</v>
      </c>
      <c r="P4">
        <f t="shared" ref="P4:T4" si="3">P2</f>
        <v>1000</v>
      </c>
      <c r="Q4">
        <f t="shared" si="3"/>
        <v>-0.95</v>
      </c>
      <c r="R4">
        <f t="shared" si="3"/>
        <v>322</v>
      </c>
      <c r="S4">
        <f t="shared" si="3"/>
        <v>1.53</v>
      </c>
      <c r="T4">
        <f t="shared" si="3"/>
        <v>94</v>
      </c>
      <c r="U4">
        <v>0.23</v>
      </c>
      <c r="V4">
        <v>0.25</v>
      </c>
      <c r="W4">
        <v>0.7</v>
      </c>
      <c r="X4">
        <f>X2</f>
        <v>1</v>
      </c>
      <c r="Y4">
        <f>Y2</f>
        <v>1</v>
      </c>
      <c r="Z4">
        <f>Z2</f>
        <v>5</v>
      </c>
      <c r="AA4">
        <v>0.76</v>
      </c>
      <c r="AB4">
        <v>7.0000000000000007E-2</v>
      </c>
      <c r="AC4">
        <v>1.5</v>
      </c>
      <c r="AD4">
        <v>1.0649999999999999</v>
      </c>
      <c r="AE4">
        <v>0.26</v>
      </c>
    </row>
    <row r="5" spans="1:31" x14ac:dyDescent="0.25">
      <c r="A5" t="s">
        <v>18</v>
      </c>
      <c r="B5">
        <f>B2</f>
        <v>0</v>
      </c>
      <c r="C5">
        <f>C2</f>
        <v>1000</v>
      </c>
      <c r="D5">
        <f>D2</f>
        <v>-0.61</v>
      </c>
      <c r="E5">
        <f t="shared" ref="E5:N5" si="4">E2</f>
        <v>339</v>
      </c>
      <c r="F5">
        <f t="shared" si="4"/>
        <v>0.54</v>
      </c>
      <c r="G5">
        <f t="shared" si="4"/>
        <v>105</v>
      </c>
      <c r="H5">
        <f t="shared" si="4"/>
        <v>1.0500000000000001E-2</v>
      </c>
      <c r="I5">
        <f t="shared" si="4"/>
        <v>1.405</v>
      </c>
      <c r="J5">
        <f t="shared" si="4"/>
        <v>1.0549999999999999</v>
      </c>
      <c r="K5">
        <f t="shared" si="4"/>
        <v>0.19</v>
      </c>
      <c r="L5">
        <f t="shared" si="4"/>
        <v>0.59</v>
      </c>
      <c r="M5">
        <f t="shared" si="4"/>
        <v>0.7</v>
      </c>
      <c r="N5">
        <f t="shared" si="4"/>
        <v>-2.7</v>
      </c>
      <c r="O5">
        <f>O2</f>
        <v>0</v>
      </c>
      <c r="P5">
        <f t="shared" ref="P5:W5" si="5">P2</f>
        <v>1000</v>
      </c>
      <c r="Q5">
        <f t="shared" si="5"/>
        <v>-0.95</v>
      </c>
      <c r="R5">
        <f t="shared" si="5"/>
        <v>322</v>
      </c>
      <c r="S5">
        <f t="shared" si="5"/>
        <v>1.53</v>
      </c>
      <c r="T5">
        <f t="shared" si="5"/>
        <v>94</v>
      </c>
      <c r="U5">
        <f t="shared" si="5"/>
        <v>0.7</v>
      </c>
      <c r="V5">
        <f t="shared" si="5"/>
        <v>0.45</v>
      </c>
      <c r="W5">
        <f t="shared" si="5"/>
        <v>-2.5</v>
      </c>
      <c r="X5">
        <f t="shared" ref="X5:AE5" si="6">X2</f>
        <v>1</v>
      </c>
      <c r="Y5">
        <f t="shared" si="6"/>
        <v>1</v>
      </c>
      <c r="Z5">
        <f t="shared" si="6"/>
        <v>5</v>
      </c>
      <c r="AA5">
        <f t="shared" si="6"/>
        <v>0.63</v>
      </c>
      <c r="AB5">
        <f t="shared" si="6"/>
        <v>5.0000000000000001E-3</v>
      </c>
      <c r="AC5">
        <f t="shared" si="6"/>
        <v>1.75</v>
      </c>
      <c r="AD5">
        <f t="shared" si="6"/>
        <v>1.07</v>
      </c>
      <c r="AE5">
        <f t="shared" si="6"/>
        <v>0.24</v>
      </c>
    </row>
    <row r="6" spans="1:31" x14ac:dyDescent="0.25">
      <c r="A6" t="s">
        <v>19</v>
      </c>
      <c r="B6">
        <f>B2</f>
        <v>0</v>
      </c>
      <c r="C6">
        <f>C2</f>
        <v>1000</v>
      </c>
      <c r="D6">
        <f>D2</f>
        <v>-0.61</v>
      </c>
      <c r="E6">
        <f t="shared" ref="E6:G6" si="7">E2</f>
        <v>339</v>
      </c>
      <c r="F6">
        <f t="shared" si="7"/>
        <v>0.54</v>
      </c>
      <c r="G6">
        <f t="shared" si="7"/>
        <v>105</v>
      </c>
      <c r="H6">
        <v>1.4E-2</v>
      </c>
      <c r="I6">
        <v>1.415</v>
      </c>
      <c r="J6">
        <v>1.05</v>
      </c>
      <c r="K6">
        <v>0.2</v>
      </c>
      <c r="L6">
        <v>0.57999999999999996</v>
      </c>
      <c r="M6">
        <v>0.7</v>
      </c>
      <c r="N6">
        <v>-2.4</v>
      </c>
      <c r="O6">
        <f>O2</f>
        <v>0</v>
      </c>
      <c r="P6">
        <f t="shared" ref="P6:T6" si="8">P2</f>
        <v>1000</v>
      </c>
      <c r="Q6">
        <f t="shared" si="8"/>
        <v>-0.95</v>
      </c>
      <c r="R6">
        <f t="shared" si="8"/>
        <v>322</v>
      </c>
      <c r="S6">
        <f t="shared" si="8"/>
        <v>1.53</v>
      </c>
      <c r="T6">
        <f t="shared" si="8"/>
        <v>94</v>
      </c>
      <c r="U6">
        <v>0.7</v>
      </c>
      <c r="V6">
        <v>0.44</v>
      </c>
      <c r="W6">
        <v>-2.4</v>
      </c>
      <c r="X6">
        <f t="shared" ref="X6:Z7" si="9">X2</f>
        <v>1</v>
      </c>
      <c r="Y6">
        <f t="shared" si="9"/>
        <v>1</v>
      </c>
      <c r="Z6">
        <f t="shared" si="9"/>
        <v>5</v>
      </c>
      <c r="AA6">
        <v>0.7</v>
      </c>
      <c r="AB6">
        <v>6.0000000000000001E-3</v>
      </c>
      <c r="AC6">
        <v>1.8</v>
      </c>
      <c r="AD6">
        <v>1.075</v>
      </c>
      <c r="AE6">
        <v>0.27</v>
      </c>
    </row>
    <row r="7" spans="1:31" x14ac:dyDescent="0.25">
      <c r="A7" t="s">
        <v>1</v>
      </c>
      <c r="B7">
        <f>B3</f>
        <v>0</v>
      </c>
      <c r="C7">
        <f t="shared" ref="C7:K7" si="10">C3</f>
        <v>1000</v>
      </c>
      <c r="D7">
        <f t="shared" si="10"/>
        <v>-0.61</v>
      </c>
      <c r="E7">
        <f t="shared" si="10"/>
        <v>339</v>
      </c>
      <c r="F7">
        <f t="shared" si="10"/>
        <v>0.54</v>
      </c>
      <c r="G7">
        <f t="shared" si="10"/>
        <v>105</v>
      </c>
      <c r="H7">
        <f t="shared" si="10"/>
        <v>5.0000000000000001E-3</v>
      </c>
      <c r="I7">
        <f t="shared" si="10"/>
        <v>1.385</v>
      </c>
      <c r="J7">
        <f t="shared" si="10"/>
        <v>1.075</v>
      </c>
      <c r="K7">
        <f t="shared" si="10"/>
        <v>0.15</v>
      </c>
      <c r="L7">
        <v>0.39</v>
      </c>
      <c r="M7">
        <v>0.41</v>
      </c>
      <c r="N7">
        <v>-0.9</v>
      </c>
      <c r="O7">
        <f>O3</f>
        <v>0</v>
      </c>
      <c r="P7">
        <f t="shared" ref="P7:W7" si="11">P3</f>
        <v>1000</v>
      </c>
      <c r="Q7">
        <f t="shared" si="11"/>
        <v>-0.95</v>
      </c>
      <c r="R7">
        <f t="shared" si="11"/>
        <v>322</v>
      </c>
      <c r="S7">
        <f t="shared" si="11"/>
        <v>1.53</v>
      </c>
      <c r="T7">
        <f t="shared" si="11"/>
        <v>94</v>
      </c>
      <c r="U7">
        <v>0.78</v>
      </c>
      <c r="V7">
        <v>0.47</v>
      </c>
      <c r="W7">
        <v>-2.9</v>
      </c>
      <c r="X7">
        <f t="shared" si="9"/>
        <v>1</v>
      </c>
      <c r="Y7">
        <f t="shared" si="9"/>
        <v>1</v>
      </c>
      <c r="Z7">
        <f t="shared" si="9"/>
        <v>5</v>
      </c>
      <c r="AA7">
        <f>AA3</f>
        <v>0.46</v>
      </c>
      <c r="AB7">
        <f>AB3</f>
        <v>3.5000000000000001E-3</v>
      </c>
      <c r="AC7">
        <f>AC3</f>
        <v>1.6</v>
      </c>
      <c r="AD7">
        <f>AD3</f>
        <v>1.08</v>
      </c>
      <c r="AE7">
        <f>AE3</f>
        <v>0.19</v>
      </c>
    </row>
    <row r="8" spans="1:31" x14ac:dyDescent="0.25">
      <c r="A8" t="s">
        <v>2</v>
      </c>
      <c r="B8">
        <f>B3</f>
        <v>0</v>
      </c>
      <c r="C8">
        <f t="shared" ref="C8:N8" si="12">C3</f>
        <v>1000</v>
      </c>
      <c r="D8">
        <f t="shared" si="12"/>
        <v>-0.61</v>
      </c>
      <c r="E8">
        <f t="shared" si="12"/>
        <v>339</v>
      </c>
      <c r="F8">
        <f t="shared" si="12"/>
        <v>0.54</v>
      </c>
      <c r="G8">
        <f t="shared" si="12"/>
        <v>105</v>
      </c>
      <c r="H8">
        <f t="shared" si="12"/>
        <v>5.0000000000000001E-3</v>
      </c>
      <c r="I8">
        <f t="shared" si="12"/>
        <v>1.385</v>
      </c>
      <c r="J8">
        <f t="shared" si="12"/>
        <v>1.075</v>
      </c>
      <c r="K8">
        <f t="shared" si="12"/>
        <v>0.15</v>
      </c>
      <c r="L8">
        <f t="shared" si="12"/>
        <v>0.62</v>
      </c>
      <c r="M8">
        <f t="shared" si="12"/>
        <v>0.68</v>
      </c>
      <c r="N8">
        <f t="shared" si="12"/>
        <v>-3.4</v>
      </c>
      <c r="O8">
        <f>O3</f>
        <v>0</v>
      </c>
      <c r="P8">
        <f t="shared" ref="P8:W8" si="13">P3</f>
        <v>1000</v>
      </c>
      <c r="Q8">
        <f t="shared" si="13"/>
        <v>-0.95</v>
      </c>
      <c r="R8">
        <f t="shared" si="13"/>
        <v>322</v>
      </c>
      <c r="S8">
        <f t="shared" si="13"/>
        <v>1.53</v>
      </c>
      <c r="T8">
        <f t="shared" si="13"/>
        <v>94</v>
      </c>
      <c r="U8">
        <f t="shared" si="13"/>
        <v>0.7</v>
      </c>
      <c r="V8">
        <f t="shared" si="13"/>
        <v>0.44</v>
      </c>
      <c r="W8">
        <f t="shared" si="13"/>
        <v>-3.4</v>
      </c>
      <c r="X8">
        <f t="shared" ref="X8:AE8" si="14">X3</f>
        <v>1</v>
      </c>
      <c r="Y8">
        <f t="shared" si="14"/>
        <v>1</v>
      </c>
      <c r="Z8">
        <f t="shared" si="14"/>
        <v>5</v>
      </c>
      <c r="AA8">
        <f t="shared" si="14"/>
        <v>0.46</v>
      </c>
      <c r="AB8">
        <f t="shared" si="14"/>
        <v>3.5000000000000001E-3</v>
      </c>
      <c r="AC8">
        <f t="shared" si="14"/>
        <v>1.6</v>
      </c>
      <c r="AD8">
        <f t="shared" si="14"/>
        <v>1.08</v>
      </c>
      <c r="AE8">
        <f t="shared" si="14"/>
        <v>0.19</v>
      </c>
    </row>
    <row r="9" spans="1:31" x14ac:dyDescent="0.25">
      <c r="A9" t="s">
        <v>3</v>
      </c>
      <c r="B9">
        <f>B3</f>
        <v>0</v>
      </c>
      <c r="C9">
        <f t="shared" ref="C9:N9" si="15">C3</f>
        <v>1000</v>
      </c>
      <c r="D9">
        <f t="shared" si="15"/>
        <v>-0.61</v>
      </c>
      <c r="E9">
        <f t="shared" si="15"/>
        <v>339</v>
      </c>
      <c r="F9">
        <f t="shared" si="15"/>
        <v>0.54</v>
      </c>
      <c r="G9">
        <f t="shared" si="15"/>
        <v>105</v>
      </c>
      <c r="H9">
        <f t="shared" si="15"/>
        <v>5.0000000000000001E-3</v>
      </c>
      <c r="I9">
        <f t="shared" si="15"/>
        <v>1.385</v>
      </c>
      <c r="J9">
        <f t="shared" si="15"/>
        <v>1.075</v>
      </c>
      <c r="K9">
        <f t="shared" si="15"/>
        <v>0.15</v>
      </c>
      <c r="L9">
        <f t="shared" si="15"/>
        <v>0.62</v>
      </c>
      <c r="M9">
        <f t="shared" si="15"/>
        <v>0.68</v>
      </c>
      <c r="N9">
        <f t="shared" si="15"/>
        <v>-3.4</v>
      </c>
      <c r="O9">
        <f>O3</f>
        <v>0</v>
      </c>
      <c r="P9">
        <f t="shared" ref="P9:W9" si="16">P3</f>
        <v>1000</v>
      </c>
      <c r="Q9">
        <f t="shared" si="16"/>
        <v>-0.95</v>
      </c>
      <c r="R9">
        <f t="shared" si="16"/>
        <v>322</v>
      </c>
      <c r="S9">
        <f t="shared" si="16"/>
        <v>1.53</v>
      </c>
      <c r="T9">
        <f t="shared" si="16"/>
        <v>94</v>
      </c>
      <c r="U9">
        <f t="shared" si="16"/>
        <v>0.7</v>
      </c>
      <c r="V9">
        <f t="shared" si="16"/>
        <v>0.44</v>
      </c>
      <c r="W9">
        <f t="shared" si="16"/>
        <v>-3.4</v>
      </c>
      <c r="X9">
        <f t="shared" ref="X9:AE9" si="17">X3</f>
        <v>1</v>
      </c>
      <c r="Y9">
        <f t="shared" si="17"/>
        <v>1</v>
      </c>
      <c r="Z9">
        <f t="shared" si="17"/>
        <v>5</v>
      </c>
      <c r="AA9">
        <f t="shared" si="17"/>
        <v>0.46</v>
      </c>
      <c r="AB9">
        <f t="shared" si="17"/>
        <v>3.5000000000000001E-3</v>
      </c>
      <c r="AC9">
        <f t="shared" si="17"/>
        <v>1.6</v>
      </c>
      <c r="AD9">
        <f t="shared" si="17"/>
        <v>1.08</v>
      </c>
      <c r="AE9">
        <f t="shared" si="17"/>
        <v>0.19</v>
      </c>
    </row>
    <row r="10" spans="1:31" x14ac:dyDescent="0.25">
      <c r="A10" t="s">
        <v>4</v>
      </c>
      <c r="B10">
        <f>B3</f>
        <v>0</v>
      </c>
      <c r="C10">
        <f t="shared" ref="C10:K10" si="18">C3</f>
        <v>1000</v>
      </c>
      <c r="D10">
        <f t="shared" si="18"/>
        <v>-0.61</v>
      </c>
      <c r="E10">
        <f t="shared" si="18"/>
        <v>339</v>
      </c>
      <c r="F10">
        <f t="shared" si="18"/>
        <v>0.54</v>
      </c>
      <c r="G10">
        <f t="shared" si="18"/>
        <v>105</v>
      </c>
      <c r="H10">
        <f t="shared" si="18"/>
        <v>5.0000000000000001E-3</v>
      </c>
      <c r="I10">
        <f t="shared" si="18"/>
        <v>1.385</v>
      </c>
      <c r="J10">
        <f t="shared" si="18"/>
        <v>1.075</v>
      </c>
      <c r="K10">
        <f t="shared" si="18"/>
        <v>0.15</v>
      </c>
      <c r="L10">
        <v>0.61</v>
      </c>
      <c r="M10">
        <v>0.45</v>
      </c>
      <c r="N10">
        <v>-2.2000000000000002</v>
      </c>
      <c r="O10">
        <f>O3</f>
        <v>0</v>
      </c>
      <c r="P10">
        <f t="shared" ref="P10:T10" si="19">P3</f>
        <v>1000</v>
      </c>
      <c r="Q10">
        <f t="shared" si="19"/>
        <v>-0.95</v>
      </c>
      <c r="R10">
        <f t="shared" si="19"/>
        <v>322</v>
      </c>
      <c r="S10">
        <f t="shared" si="19"/>
        <v>1.53</v>
      </c>
      <c r="T10">
        <f t="shared" si="19"/>
        <v>94</v>
      </c>
      <c r="U10">
        <v>0.74</v>
      </c>
      <c r="V10">
        <v>0.46</v>
      </c>
      <c r="W10">
        <v>-2.9</v>
      </c>
      <c r="X10">
        <f t="shared" ref="X10:AE10" si="20">X3</f>
        <v>1</v>
      </c>
      <c r="Y10">
        <f t="shared" si="20"/>
        <v>1</v>
      </c>
      <c r="Z10">
        <f t="shared" si="20"/>
        <v>5</v>
      </c>
      <c r="AA10">
        <f t="shared" si="20"/>
        <v>0.46</v>
      </c>
      <c r="AB10">
        <f t="shared" si="20"/>
        <v>3.5000000000000001E-3</v>
      </c>
      <c r="AC10">
        <f t="shared" si="20"/>
        <v>1.6</v>
      </c>
      <c r="AD10">
        <f t="shared" si="20"/>
        <v>1.08</v>
      </c>
      <c r="AE10">
        <f t="shared" si="20"/>
        <v>0.19</v>
      </c>
    </row>
    <row r="11" spans="1:31" x14ac:dyDescent="0.25">
      <c r="A11" t="s">
        <v>5</v>
      </c>
      <c r="B11">
        <f>B3</f>
        <v>0</v>
      </c>
      <c r="C11">
        <f t="shared" ref="C11:N11" si="21">C3</f>
        <v>1000</v>
      </c>
      <c r="D11">
        <f t="shared" si="21"/>
        <v>-0.61</v>
      </c>
      <c r="E11">
        <f t="shared" si="21"/>
        <v>339</v>
      </c>
      <c r="F11">
        <f t="shared" si="21"/>
        <v>0.54</v>
      </c>
      <c r="G11">
        <f t="shared" si="21"/>
        <v>105</v>
      </c>
      <c r="H11">
        <f t="shared" si="21"/>
        <v>5.0000000000000001E-3</v>
      </c>
      <c r="I11">
        <f t="shared" si="21"/>
        <v>1.385</v>
      </c>
      <c r="J11">
        <f t="shared" si="21"/>
        <v>1.075</v>
      </c>
      <c r="K11">
        <f t="shared" si="21"/>
        <v>0.15</v>
      </c>
      <c r="L11">
        <f t="shared" si="21"/>
        <v>0.62</v>
      </c>
      <c r="M11">
        <f t="shared" si="21"/>
        <v>0.68</v>
      </c>
      <c r="N11">
        <f t="shared" si="21"/>
        <v>-3.4</v>
      </c>
      <c r="O11">
        <f>O3</f>
        <v>0</v>
      </c>
      <c r="P11">
        <f t="shared" ref="P11:W11" si="22">P3</f>
        <v>1000</v>
      </c>
      <c r="Q11">
        <f t="shared" si="22"/>
        <v>-0.95</v>
      </c>
      <c r="R11">
        <f t="shared" si="22"/>
        <v>322</v>
      </c>
      <c r="S11">
        <f t="shared" si="22"/>
        <v>1.53</v>
      </c>
      <c r="T11">
        <f t="shared" si="22"/>
        <v>94</v>
      </c>
      <c r="U11">
        <f t="shared" si="22"/>
        <v>0.7</v>
      </c>
      <c r="V11">
        <f t="shared" si="22"/>
        <v>0.44</v>
      </c>
      <c r="W11">
        <f t="shared" si="22"/>
        <v>-3.4</v>
      </c>
      <c r="X11">
        <f t="shared" ref="X11:AE11" si="23">X3</f>
        <v>1</v>
      </c>
      <c r="Y11">
        <f t="shared" si="23"/>
        <v>1</v>
      </c>
      <c r="Z11">
        <f t="shared" si="23"/>
        <v>5</v>
      </c>
      <c r="AA11">
        <f t="shared" si="23"/>
        <v>0.46</v>
      </c>
      <c r="AB11">
        <f t="shared" si="23"/>
        <v>3.5000000000000001E-3</v>
      </c>
      <c r="AC11">
        <f t="shared" si="23"/>
        <v>1.6</v>
      </c>
      <c r="AD11">
        <f t="shared" si="23"/>
        <v>1.08</v>
      </c>
      <c r="AE11">
        <f t="shared" si="23"/>
        <v>0.19</v>
      </c>
    </row>
    <row r="12" spans="1:31" x14ac:dyDescent="0.25">
      <c r="A12" t="s">
        <v>6</v>
      </c>
      <c r="B12">
        <f>B3</f>
        <v>0</v>
      </c>
      <c r="C12">
        <f t="shared" ref="C12:K12" si="24">C3</f>
        <v>1000</v>
      </c>
      <c r="D12">
        <f t="shared" si="24"/>
        <v>-0.61</v>
      </c>
      <c r="E12">
        <f t="shared" si="24"/>
        <v>339</v>
      </c>
      <c r="F12">
        <f t="shared" si="24"/>
        <v>0.54</v>
      </c>
      <c r="G12">
        <f t="shared" si="24"/>
        <v>105</v>
      </c>
      <c r="H12">
        <f t="shared" si="24"/>
        <v>5.0000000000000001E-3</v>
      </c>
      <c r="I12">
        <f t="shared" si="24"/>
        <v>1.385</v>
      </c>
      <c r="J12">
        <f t="shared" si="24"/>
        <v>1.075</v>
      </c>
      <c r="K12">
        <f t="shared" si="24"/>
        <v>0.15</v>
      </c>
      <c r="L12">
        <v>0.26</v>
      </c>
      <c r="M12">
        <v>0.56000000000000005</v>
      </c>
      <c r="N12">
        <v>-2.1</v>
      </c>
      <c r="O12">
        <f>O3</f>
        <v>0</v>
      </c>
      <c r="P12">
        <f t="shared" ref="P12:W12" si="25">P3</f>
        <v>1000</v>
      </c>
      <c r="Q12">
        <f t="shared" si="25"/>
        <v>-0.95</v>
      </c>
      <c r="R12">
        <f t="shared" si="25"/>
        <v>322</v>
      </c>
      <c r="S12">
        <f t="shared" si="25"/>
        <v>1.53</v>
      </c>
      <c r="T12">
        <f t="shared" si="25"/>
        <v>94</v>
      </c>
      <c r="U12">
        <v>0.44</v>
      </c>
      <c r="V12">
        <v>0.56999999999999995</v>
      </c>
      <c r="W12">
        <v>-1.9</v>
      </c>
      <c r="X12">
        <f t="shared" ref="X12:AE12" si="26">X3</f>
        <v>1</v>
      </c>
      <c r="Y12">
        <f t="shared" si="26"/>
        <v>1</v>
      </c>
      <c r="Z12">
        <f t="shared" si="26"/>
        <v>5</v>
      </c>
      <c r="AA12">
        <f t="shared" si="26"/>
        <v>0.46</v>
      </c>
      <c r="AB12">
        <f t="shared" si="26"/>
        <v>3.5000000000000001E-3</v>
      </c>
      <c r="AC12">
        <f t="shared" si="26"/>
        <v>1.6</v>
      </c>
      <c r="AD12">
        <f t="shared" si="26"/>
        <v>1.08</v>
      </c>
      <c r="AE12">
        <f t="shared" si="26"/>
        <v>0.19</v>
      </c>
    </row>
    <row r="13" spans="1:31" x14ac:dyDescent="0.25">
      <c r="A13" t="s">
        <v>7</v>
      </c>
      <c r="B13">
        <f>B3</f>
        <v>0</v>
      </c>
      <c r="C13">
        <f t="shared" ref="C13:K13" si="27">C3</f>
        <v>1000</v>
      </c>
      <c r="D13">
        <f t="shared" si="27"/>
        <v>-0.61</v>
      </c>
      <c r="E13">
        <f t="shared" si="27"/>
        <v>339</v>
      </c>
      <c r="F13">
        <f t="shared" si="27"/>
        <v>0.54</v>
      </c>
      <c r="G13">
        <f t="shared" si="27"/>
        <v>105</v>
      </c>
      <c r="H13">
        <f t="shared" si="27"/>
        <v>5.0000000000000001E-3</v>
      </c>
      <c r="I13">
        <f t="shared" si="27"/>
        <v>1.385</v>
      </c>
      <c r="J13">
        <f t="shared" si="27"/>
        <v>1.075</v>
      </c>
      <c r="K13">
        <f t="shared" si="27"/>
        <v>0.15</v>
      </c>
      <c r="L13">
        <v>0.79</v>
      </c>
      <c r="M13">
        <v>0.66</v>
      </c>
      <c r="N13">
        <v>-5.4</v>
      </c>
      <c r="O13">
        <f>O3</f>
        <v>0</v>
      </c>
      <c r="P13">
        <f t="shared" ref="P13:T13" si="28">P3</f>
        <v>1000</v>
      </c>
      <c r="Q13">
        <f t="shared" si="28"/>
        <v>-0.95</v>
      </c>
      <c r="R13">
        <f t="shared" si="28"/>
        <v>322</v>
      </c>
      <c r="S13">
        <f t="shared" si="28"/>
        <v>1.53</v>
      </c>
      <c r="T13">
        <f t="shared" si="28"/>
        <v>94</v>
      </c>
      <c r="U13">
        <v>0.82</v>
      </c>
      <c r="V13">
        <v>0.45</v>
      </c>
      <c r="W13">
        <v>-4.4000000000000004</v>
      </c>
      <c r="X13">
        <f t="shared" ref="X13:AE13" si="29">X3</f>
        <v>1</v>
      </c>
      <c r="Y13">
        <f t="shared" si="29"/>
        <v>1</v>
      </c>
      <c r="Z13">
        <f t="shared" si="29"/>
        <v>5</v>
      </c>
      <c r="AA13">
        <f t="shared" si="29"/>
        <v>0.46</v>
      </c>
      <c r="AB13">
        <f t="shared" si="29"/>
        <v>3.5000000000000001E-3</v>
      </c>
      <c r="AC13">
        <f t="shared" si="29"/>
        <v>1.6</v>
      </c>
      <c r="AD13">
        <f t="shared" si="29"/>
        <v>1.08</v>
      </c>
      <c r="AE13">
        <f t="shared" si="29"/>
        <v>0.19</v>
      </c>
    </row>
    <row r="14" spans="1:31" x14ac:dyDescent="0.25">
      <c r="A14" t="s">
        <v>21</v>
      </c>
      <c r="B14">
        <f>B3</f>
        <v>0</v>
      </c>
      <c r="C14">
        <f t="shared" ref="C14:K14" si="30">C3</f>
        <v>1000</v>
      </c>
      <c r="D14">
        <f t="shared" si="30"/>
        <v>-0.61</v>
      </c>
      <c r="E14">
        <f t="shared" si="30"/>
        <v>339</v>
      </c>
      <c r="F14">
        <f t="shared" si="30"/>
        <v>0.54</v>
      </c>
      <c r="G14">
        <f t="shared" si="30"/>
        <v>105</v>
      </c>
      <c r="H14">
        <f t="shared" si="30"/>
        <v>5.0000000000000001E-3</v>
      </c>
      <c r="I14">
        <f t="shared" si="30"/>
        <v>1.385</v>
      </c>
      <c r="J14">
        <f t="shared" si="30"/>
        <v>1.075</v>
      </c>
      <c r="K14">
        <f t="shared" si="30"/>
        <v>0.15</v>
      </c>
      <c r="L14">
        <v>0.85</v>
      </c>
      <c r="M14">
        <v>0.32</v>
      </c>
      <c r="N14">
        <v>-2.9</v>
      </c>
      <c r="O14">
        <f>O3</f>
        <v>0</v>
      </c>
      <c r="P14">
        <f t="shared" ref="P14:T14" si="31">P3</f>
        <v>1000</v>
      </c>
      <c r="Q14">
        <f t="shared" si="31"/>
        <v>-0.95</v>
      </c>
      <c r="R14">
        <f t="shared" si="31"/>
        <v>322</v>
      </c>
      <c r="S14">
        <f t="shared" si="31"/>
        <v>1.53</v>
      </c>
      <c r="T14">
        <f t="shared" si="31"/>
        <v>94</v>
      </c>
      <c r="U14">
        <v>0.85</v>
      </c>
      <c r="V14">
        <v>0.32</v>
      </c>
      <c r="W14">
        <v>-2.9</v>
      </c>
      <c r="X14">
        <f t="shared" ref="X14:AE14" si="32">X3</f>
        <v>1</v>
      </c>
      <c r="Y14">
        <f t="shared" si="32"/>
        <v>1</v>
      </c>
      <c r="Z14">
        <f t="shared" si="32"/>
        <v>5</v>
      </c>
      <c r="AA14">
        <f t="shared" si="32"/>
        <v>0.46</v>
      </c>
      <c r="AB14">
        <f t="shared" si="32"/>
        <v>3.5000000000000001E-3</v>
      </c>
      <c r="AC14">
        <f t="shared" si="32"/>
        <v>1.6</v>
      </c>
      <c r="AD14">
        <f t="shared" si="32"/>
        <v>1.08</v>
      </c>
      <c r="AE14">
        <f t="shared" si="32"/>
        <v>0.19</v>
      </c>
    </row>
    <row r="15" spans="1:31" x14ac:dyDescent="0.25">
      <c r="A15" t="s">
        <v>22</v>
      </c>
      <c r="B15">
        <f>B3</f>
        <v>0</v>
      </c>
      <c r="C15">
        <f t="shared" ref="C15:K15" si="33">C3</f>
        <v>1000</v>
      </c>
      <c r="D15">
        <f t="shared" si="33"/>
        <v>-0.61</v>
      </c>
      <c r="E15">
        <f t="shared" si="33"/>
        <v>339</v>
      </c>
      <c r="F15">
        <f t="shared" si="33"/>
        <v>0.54</v>
      </c>
      <c r="G15">
        <f t="shared" si="33"/>
        <v>105</v>
      </c>
      <c r="H15">
        <f t="shared" si="33"/>
        <v>5.0000000000000001E-3</v>
      </c>
      <c r="I15">
        <f t="shared" si="33"/>
        <v>1.385</v>
      </c>
      <c r="J15">
        <f t="shared" si="33"/>
        <v>1.075</v>
      </c>
      <c r="K15">
        <f t="shared" si="33"/>
        <v>0.15</v>
      </c>
      <c r="L15">
        <v>0.24</v>
      </c>
      <c r="M15">
        <v>0.6</v>
      </c>
      <c r="N15">
        <v>-1.6</v>
      </c>
      <c r="O15">
        <f>O3</f>
        <v>0</v>
      </c>
      <c r="P15">
        <f t="shared" ref="P15:W15" si="34">P3</f>
        <v>1000</v>
      </c>
      <c r="Q15">
        <f t="shared" si="34"/>
        <v>-0.95</v>
      </c>
      <c r="R15">
        <f t="shared" si="34"/>
        <v>322</v>
      </c>
      <c r="S15">
        <f t="shared" si="34"/>
        <v>1.53</v>
      </c>
      <c r="T15">
        <f t="shared" si="34"/>
        <v>94</v>
      </c>
      <c r="U15">
        <f t="shared" si="34"/>
        <v>0.7</v>
      </c>
      <c r="V15">
        <f t="shared" si="34"/>
        <v>0.44</v>
      </c>
      <c r="W15">
        <f t="shared" si="34"/>
        <v>-3.4</v>
      </c>
      <c r="X15">
        <f t="shared" ref="X15:AE15" si="35">X3</f>
        <v>1</v>
      </c>
      <c r="Y15">
        <f t="shared" si="35"/>
        <v>1</v>
      </c>
      <c r="Z15">
        <f t="shared" si="35"/>
        <v>5</v>
      </c>
      <c r="AA15">
        <f t="shared" si="35"/>
        <v>0.46</v>
      </c>
      <c r="AB15">
        <f t="shared" si="35"/>
        <v>3.5000000000000001E-3</v>
      </c>
      <c r="AC15">
        <f t="shared" si="35"/>
        <v>1.6</v>
      </c>
      <c r="AD15">
        <f t="shared" si="35"/>
        <v>1.08</v>
      </c>
      <c r="AE15">
        <f t="shared" si="35"/>
        <v>0.19</v>
      </c>
    </row>
    <row r="16" spans="1:31" x14ac:dyDescent="0.25">
      <c r="A16" t="s">
        <v>23</v>
      </c>
      <c r="B16">
        <f>B3</f>
        <v>0</v>
      </c>
      <c r="C16">
        <f t="shared" ref="C16:K16" si="36">C3</f>
        <v>1000</v>
      </c>
      <c r="D16">
        <f t="shared" si="36"/>
        <v>-0.61</v>
      </c>
      <c r="E16">
        <f t="shared" si="36"/>
        <v>339</v>
      </c>
      <c r="F16">
        <f t="shared" si="36"/>
        <v>0.54</v>
      </c>
      <c r="G16">
        <f t="shared" si="36"/>
        <v>105</v>
      </c>
      <c r="H16">
        <f t="shared" si="36"/>
        <v>5.0000000000000001E-3</v>
      </c>
      <c r="I16">
        <f t="shared" si="36"/>
        <v>1.385</v>
      </c>
      <c r="J16">
        <f t="shared" si="36"/>
        <v>1.075</v>
      </c>
      <c r="K16">
        <f t="shared" si="36"/>
        <v>0.15</v>
      </c>
      <c r="L16">
        <v>0.6</v>
      </c>
      <c r="M16">
        <v>0.55000000000000004</v>
      </c>
      <c r="N16">
        <v>-4</v>
      </c>
      <c r="O16">
        <f>O3</f>
        <v>0</v>
      </c>
      <c r="P16">
        <f t="shared" ref="P16:T16" si="37">P3</f>
        <v>1000</v>
      </c>
      <c r="Q16">
        <f t="shared" si="37"/>
        <v>-0.95</v>
      </c>
      <c r="R16">
        <f t="shared" si="37"/>
        <v>322</v>
      </c>
      <c r="S16">
        <f t="shared" si="37"/>
        <v>1.53</v>
      </c>
      <c r="T16">
        <f t="shared" si="37"/>
        <v>94</v>
      </c>
      <c r="U16">
        <v>0.65</v>
      </c>
      <c r="V16">
        <v>0.4</v>
      </c>
      <c r="W16">
        <v>-3.5</v>
      </c>
      <c r="X16">
        <f t="shared" ref="X16:AE16" si="38">X3</f>
        <v>1</v>
      </c>
      <c r="Y16">
        <f t="shared" si="38"/>
        <v>1</v>
      </c>
      <c r="Z16">
        <f t="shared" si="38"/>
        <v>5</v>
      </c>
      <c r="AA16">
        <f t="shared" si="38"/>
        <v>0.46</v>
      </c>
      <c r="AB16">
        <f t="shared" si="38"/>
        <v>3.5000000000000001E-3</v>
      </c>
      <c r="AC16">
        <f t="shared" si="38"/>
        <v>1.6</v>
      </c>
      <c r="AD16">
        <f t="shared" si="38"/>
        <v>1.08</v>
      </c>
      <c r="AE16">
        <f t="shared" si="38"/>
        <v>0.19</v>
      </c>
    </row>
    <row r="17" spans="1:31" x14ac:dyDescent="0.25">
      <c r="A17" t="s">
        <v>24</v>
      </c>
      <c r="B17">
        <f>B3</f>
        <v>0</v>
      </c>
      <c r="C17">
        <f t="shared" ref="C17:K17" si="39">C3</f>
        <v>1000</v>
      </c>
      <c r="D17">
        <f t="shared" si="39"/>
        <v>-0.61</v>
      </c>
      <c r="E17">
        <f t="shared" si="39"/>
        <v>339</v>
      </c>
      <c r="F17">
        <f t="shared" si="39"/>
        <v>0.54</v>
      </c>
      <c r="G17">
        <f t="shared" si="39"/>
        <v>105</v>
      </c>
      <c r="H17">
        <f t="shared" si="39"/>
        <v>5.0000000000000001E-3</v>
      </c>
      <c r="I17">
        <f t="shared" si="39"/>
        <v>1.385</v>
      </c>
      <c r="J17">
        <f t="shared" si="39"/>
        <v>1.075</v>
      </c>
      <c r="K17">
        <f t="shared" si="39"/>
        <v>0.15</v>
      </c>
      <c r="L17">
        <v>0.7</v>
      </c>
      <c r="M17">
        <v>0.43</v>
      </c>
      <c r="N17">
        <v>-3.8</v>
      </c>
      <c r="O17">
        <f>O3</f>
        <v>0</v>
      </c>
      <c r="P17">
        <f t="shared" ref="P17:T17" si="40">P3</f>
        <v>1000</v>
      </c>
      <c r="Q17">
        <f t="shared" si="40"/>
        <v>-0.95</v>
      </c>
      <c r="R17">
        <f t="shared" si="40"/>
        <v>322</v>
      </c>
      <c r="S17">
        <f t="shared" si="40"/>
        <v>1.53</v>
      </c>
      <c r="T17">
        <f t="shared" si="40"/>
        <v>94</v>
      </c>
      <c r="U17">
        <v>0.72</v>
      </c>
      <c r="V17">
        <v>0.34</v>
      </c>
      <c r="W17">
        <v>-5</v>
      </c>
      <c r="X17">
        <f t="shared" ref="X17:AE18" si="41">X3</f>
        <v>1</v>
      </c>
      <c r="Y17">
        <f t="shared" si="41"/>
        <v>1</v>
      </c>
      <c r="Z17">
        <f t="shared" si="41"/>
        <v>5</v>
      </c>
      <c r="AA17">
        <f t="shared" si="41"/>
        <v>0.46</v>
      </c>
      <c r="AB17">
        <f t="shared" si="41"/>
        <v>3.5000000000000001E-3</v>
      </c>
      <c r="AC17">
        <f t="shared" si="41"/>
        <v>1.6</v>
      </c>
      <c r="AD17">
        <f t="shared" si="41"/>
        <v>1.08</v>
      </c>
      <c r="AE17">
        <f t="shared" si="41"/>
        <v>0.19</v>
      </c>
    </row>
    <row r="18" spans="1:31" x14ac:dyDescent="0.25">
      <c r="A18" t="s">
        <v>15</v>
      </c>
      <c r="B18">
        <f>B4</f>
        <v>0</v>
      </c>
      <c r="C18">
        <f t="shared" ref="C18:N18" si="42">C4</f>
        <v>1000</v>
      </c>
      <c r="D18">
        <f t="shared" si="42"/>
        <v>-0.61</v>
      </c>
      <c r="E18">
        <f t="shared" si="42"/>
        <v>339</v>
      </c>
      <c r="F18">
        <f t="shared" si="42"/>
        <v>0.54</v>
      </c>
      <c r="G18">
        <f t="shared" si="42"/>
        <v>105</v>
      </c>
      <c r="H18">
        <f t="shared" si="42"/>
        <v>6.5000000000000002E-2</v>
      </c>
      <c r="I18">
        <f t="shared" si="42"/>
        <v>0.97</v>
      </c>
      <c r="J18">
        <f t="shared" si="42"/>
        <v>0.97499999999999998</v>
      </c>
      <c r="K18">
        <f t="shared" si="42"/>
        <v>0.27</v>
      </c>
      <c r="L18">
        <f t="shared" si="42"/>
        <v>0.31</v>
      </c>
      <c r="M18">
        <f t="shared" si="42"/>
        <v>0.35</v>
      </c>
      <c r="N18">
        <f t="shared" si="42"/>
        <v>-1.1000000000000001</v>
      </c>
      <c r="O18">
        <f>O4</f>
        <v>0</v>
      </c>
      <c r="P18">
        <f t="shared" ref="P18:W18" si="43">P4</f>
        <v>1000</v>
      </c>
      <c r="Q18">
        <f t="shared" si="43"/>
        <v>-0.95</v>
      </c>
      <c r="R18">
        <f t="shared" si="43"/>
        <v>322</v>
      </c>
      <c r="S18">
        <f t="shared" si="43"/>
        <v>1.53</v>
      </c>
      <c r="T18">
        <f t="shared" si="43"/>
        <v>94</v>
      </c>
      <c r="U18">
        <f t="shared" si="43"/>
        <v>0.23</v>
      </c>
      <c r="V18">
        <f t="shared" si="43"/>
        <v>0.25</v>
      </c>
      <c r="W18">
        <f t="shared" si="43"/>
        <v>0.7</v>
      </c>
      <c r="X18">
        <f t="shared" si="41"/>
        <v>1</v>
      </c>
      <c r="Y18">
        <f t="shared" si="41"/>
        <v>1</v>
      </c>
      <c r="Z18">
        <f t="shared" si="41"/>
        <v>5</v>
      </c>
      <c r="AA18">
        <f t="shared" si="41"/>
        <v>0.76</v>
      </c>
      <c r="AB18">
        <f t="shared" si="41"/>
        <v>7.0000000000000007E-2</v>
      </c>
      <c r="AC18">
        <f t="shared" si="41"/>
        <v>1.5</v>
      </c>
      <c r="AD18">
        <f t="shared" si="41"/>
        <v>1.0649999999999999</v>
      </c>
      <c r="AE18">
        <f t="shared" si="41"/>
        <v>0.26</v>
      </c>
    </row>
    <row r="19" spans="1:31" x14ac:dyDescent="0.25">
      <c r="A19" t="s">
        <v>8</v>
      </c>
      <c r="B19">
        <f>B4</f>
        <v>0</v>
      </c>
      <c r="C19">
        <f t="shared" ref="C19:K19" si="44">C4</f>
        <v>1000</v>
      </c>
      <c r="D19">
        <f t="shared" si="44"/>
        <v>-0.61</v>
      </c>
      <c r="E19">
        <f t="shared" si="44"/>
        <v>339</v>
      </c>
      <c r="F19">
        <f t="shared" si="44"/>
        <v>0.54</v>
      </c>
      <c r="G19">
        <f t="shared" si="44"/>
        <v>105</v>
      </c>
      <c r="H19">
        <f t="shared" si="44"/>
        <v>6.5000000000000002E-2</v>
      </c>
      <c r="I19">
        <f t="shared" si="44"/>
        <v>0.97</v>
      </c>
      <c r="J19">
        <f t="shared" si="44"/>
        <v>0.97499999999999998</v>
      </c>
      <c r="K19">
        <f t="shared" si="44"/>
        <v>0.27</v>
      </c>
      <c r="L19">
        <v>0.4</v>
      </c>
      <c r="M19">
        <v>0.4</v>
      </c>
      <c r="N19">
        <v>-1.5</v>
      </c>
      <c r="O19">
        <f>O4</f>
        <v>0</v>
      </c>
      <c r="P19">
        <f t="shared" ref="P19:T19" si="45">P4</f>
        <v>1000</v>
      </c>
      <c r="Q19">
        <f t="shared" si="45"/>
        <v>-0.95</v>
      </c>
      <c r="R19">
        <f t="shared" si="45"/>
        <v>322</v>
      </c>
      <c r="S19">
        <f t="shared" si="45"/>
        <v>1.53</v>
      </c>
      <c r="T19">
        <f t="shared" si="45"/>
        <v>94</v>
      </c>
      <c r="U19">
        <v>0.18</v>
      </c>
      <c r="V19">
        <v>0.3</v>
      </c>
      <c r="W19">
        <v>1.5</v>
      </c>
      <c r="X19">
        <f t="shared" ref="X19:AE20" si="46">X4</f>
        <v>1</v>
      </c>
      <c r="Y19">
        <f t="shared" si="46"/>
        <v>1</v>
      </c>
      <c r="Z19">
        <f t="shared" si="46"/>
        <v>5</v>
      </c>
      <c r="AA19">
        <f t="shared" si="46"/>
        <v>0.76</v>
      </c>
      <c r="AB19">
        <f t="shared" si="46"/>
        <v>7.0000000000000007E-2</v>
      </c>
      <c r="AC19">
        <f t="shared" si="46"/>
        <v>1.5</v>
      </c>
      <c r="AD19">
        <f t="shared" si="46"/>
        <v>1.0649999999999999</v>
      </c>
      <c r="AE19">
        <f t="shared" si="46"/>
        <v>0.26</v>
      </c>
    </row>
    <row r="20" spans="1:31" x14ac:dyDescent="0.25">
      <c r="A20" t="s">
        <v>14</v>
      </c>
      <c r="B20">
        <f>B5</f>
        <v>0</v>
      </c>
      <c r="C20">
        <f t="shared" ref="C20:N20" si="47">C5</f>
        <v>1000</v>
      </c>
      <c r="D20">
        <f t="shared" si="47"/>
        <v>-0.61</v>
      </c>
      <c r="E20">
        <f t="shared" si="47"/>
        <v>339</v>
      </c>
      <c r="F20">
        <f t="shared" si="47"/>
        <v>0.54</v>
      </c>
      <c r="G20">
        <f t="shared" si="47"/>
        <v>105</v>
      </c>
      <c r="H20">
        <f t="shared" si="47"/>
        <v>1.0500000000000001E-2</v>
      </c>
      <c r="I20">
        <f t="shared" si="47"/>
        <v>1.405</v>
      </c>
      <c r="J20">
        <f t="shared" si="47"/>
        <v>1.0549999999999999</v>
      </c>
      <c r="K20">
        <f t="shared" si="47"/>
        <v>0.19</v>
      </c>
      <c r="L20">
        <f t="shared" si="47"/>
        <v>0.59</v>
      </c>
      <c r="M20">
        <f t="shared" si="47"/>
        <v>0.7</v>
      </c>
      <c r="N20">
        <f t="shared" si="47"/>
        <v>-2.7</v>
      </c>
      <c r="O20">
        <f>O5</f>
        <v>0</v>
      </c>
      <c r="P20">
        <f t="shared" ref="P20:W20" si="48">P5</f>
        <v>1000</v>
      </c>
      <c r="Q20">
        <f t="shared" si="48"/>
        <v>-0.95</v>
      </c>
      <c r="R20">
        <f t="shared" si="48"/>
        <v>322</v>
      </c>
      <c r="S20">
        <f t="shared" si="48"/>
        <v>1.53</v>
      </c>
      <c r="T20">
        <f t="shared" si="48"/>
        <v>94</v>
      </c>
      <c r="U20">
        <f t="shared" si="48"/>
        <v>0.7</v>
      </c>
      <c r="V20">
        <f t="shared" si="48"/>
        <v>0.45</v>
      </c>
      <c r="W20">
        <f t="shared" si="48"/>
        <v>-2.5</v>
      </c>
      <c r="X20">
        <f t="shared" si="46"/>
        <v>1</v>
      </c>
      <c r="Y20">
        <f t="shared" si="46"/>
        <v>1</v>
      </c>
      <c r="Z20">
        <f t="shared" si="46"/>
        <v>5</v>
      </c>
      <c r="AA20">
        <f t="shared" si="46"/>
        <v>0.63</v>
      </c>
      <c r="AB20">
        <f t="shared" si="46"/>
        <v>5.0000000000000001E-3</v>
      </c>
      <c r="AC20">
        <f t="shared" si="46"/>
        <v>1.75</v>
      </c>
      <c r="AD20">
        <f t="shared" si="46"/>
        <v>1.07</v>
      </c>
      <c r="AE20">
        <f t="shared" si="46"/>
        <v>0.24</v>
      </c>
    </row>
    <row r="21" spans="1:31" x14ac:dyDescent="0.25">
      <c r="A21" t="s">
        <v>9</v>
      </c>
      <c r="B21">
        <f>B5</f>
        <v>0</v>
      </c>
      <c r="C21">
        <f t="shared" ref="C21:N21" si="49">C5</f>
        <v>1000</v>
      </c>
      <c r="D21">
        <f t="shared" si="49"/>
        <v>-0.61</v>
      </c>
      <c r="E21">
        <f t="shared" si="49"/>
        <v>339</v>
      </c>
      <c r="F21">
        <f t="shared" si="49"/>
        <v>0.54</v>
      </c>
      <c r="G21">
        <f t="shared" si="49"/>
        <v>105</v>
      </c>
      <c r="H21">
        <f t="shared" si="49"/>
        <v>1.0500000000000001E-2</v>
      </c>
      <c r="I21">
        <f t="shared" si="49"/>
        <v>1.405</v>
      </c>
      <c r="J21">
        <f t="shared" si="49"/>
        <v>1.0549999999999999</v>
      </c>
      <c r="K21">
        <f t="shared" si="49"/>
        <v>0.19</v>
      </c>
      <c r="L21">
        <f t="shared" si="49"/>
        <v>0.59</v>
      </c>
      <c r="M21">
        <f t="shared" si="49"/>
        <v>0.7</v>
      </c>
      <c r="N21">
        <f t="shared" si="49"/>
        <v>-2.7</v>
      </c>
      <c r="O21">
        <f>O5</f>
        <v>0</v>
      </c>
      <c r="P21">
        <f t="shared" ref="P21:W21" si="50">P5</f>
        <v>1000</v>
      </c>
      <c r="Q21">
        <f t="shared" si="50"/>
        <v>-0.95</v>
      </c>
      <c r="R21">
        <f t="shared" si="50"/>
        <v>322</v>
      </c>
      <c r="S21">
        <f t="shared" si="50"/>
        <v>1.53</v>
      </c>
      <c r="T21">
        <f t="shared" si="50"/>
        <v>94</v>
      </c>
      <c r="U21">
        <f t="shared" si="50"/>
        <v>0.7</v>
      </c>
      <c r="V21">
        <f t="shared" si="50"/>
        <v>0.45</v>
      </c>
      <c r="W21">
        <f t="shared" si="50"/>
        <v>-2.5</v>
      </c>
      <c r="X21">
        <f t="shared" ref="X21:AE22" si="51">X5</f>
        <v>1</v>
      </c>
      <c r="Y21">
        <f t="shared" si="51"/>
        <v>1</v>
      </c>
      <c r="Z21">
        <f t="shared" si="51"/>
        <v>5</v>
      </c>
      <c r="AA21">
        <f t="shared" si="51"/>
        <v>0.63</v>
      </c>
      <c r="AB21">
        <f t="shared" si="51"/>
        <v>5.0000000000000001E-3</v>
      </c>
      <c r="AC21">
        <f t="shared" si="51"/>
        <v>1.75</v>
      </c>
      <c r="AD21">
        <f t="shared" si="51"/>
        <v>1.07</v>
      </c>
      <c r="AE21">
        <f t="shared" si="51"/>
        <v>0.24</v>
      </c>
    </row>
    <row r="22" spans="1:31" x14ac:dyDescent="0.25">
      <c r="A22" t="s">
        <v>10</v>
      </c>
      <c r="B22">
        <f>B6</f>
        <v>0</v>
      </c>
      <c r="C22">
        <f t="shared" ref="C22:K22" si="52">C6</f>
        <v>1000</v>
      </c>
      <c r="D22">
        <f t="shared" si="52"/>
        <v>-0.61</v>
      </c>
      <c r="E22">
        <f t="shared" si="52"/>
        <v>339</v>
      </c>
      <c r="F22">
        <f t="shared" si="52"/>
        <v>0.54</v>
      </c>
      <c r="G22">
        <f t="shared" si="52"/>
        <v>105</v>
      </c>
      <c r="H22">
        <f t="shared" si="52"/>
        <v>1.4E-2</v>
      </c>
      <c r="I22">
        <f t="shared" si="52"/>
        <v>1.415</v>
      </c>
      <c r="J22">
        <f t="shared" si="52"/>
        <v>1.05</v>
      </c>
      <c r="K22">
        <f t="shared" si="52"/>
        <v>0.2</v>
      </c>
      <c r="L22">
        <v>0.55000000000000004</v>
      </c>
      <c r="M22">
        <v>0.71</v>
      </c>
      <c r="N22">
        <v>-2.7</v>
      </c>
      <c r="O22">
        <f>O6</f>
        <v>0</v>
      </c>
      <c r="P22">
        <f t="shared" ref="P22:T22" si="53">P6</f>
        <v>1000</v>
      </c>
      <c r="Q22">
        <f t="shared" si="53"/>
        <v>-0.95</v>
      </c>
      <c r="R22">
        <f t="shared" si="53"/>
        <v>322</v>
      </c>
      <c r="S22">
        <f t="shared" si="53"/>
        <v>1.53</v>
      </c>
      <c r="T22">
        <f t="shared" si="53"/>
        <v>94</v>
      </c>
      <c r="U22">
        <v>0.66</v>
      </c>
      <c r="V22">
        <v>0.45</v>
      </c>
      <c r="W22">
        <v>-2.6</v>
      </c>
      <c r="X22">
        <f t="shared" si="51"/>
        <v>1</v>
      </c>
      <c r="Y22">
        <f t="shared" si="51"/>
        <v>1</v>
      </c>
      <c r="Z22">
        <f t="shared" si="51"/>
        <v>5</v>
      </c>
      <c r="AA22">
        <f t="shared" si="51"/>
        <v>0.7</v>
      </c>
      <c r="AB22">
        <f t="shared" si="51"/>
        <v>6.0000000000000001E-3</v>
      </c>
      <c r="AC22">
        <f t="shared" si="51"/>
        <v>1.8</v>
      </c>
      <c r="AD22">
        <f t="shared" si="51"/>
        <v>1.075</v>
      </c>
      <c r="AE22">
        <f t="shared" si="51"/>
        <v>0.27</v>
      </c>
    </row>
    <row r="23" spans="1:31" x14ac:dyDescent="0.25">
      <c r="A23" t="s">
        <v>11</v>
      </c>
      <c r="B23">
        <f>B6</f>
        <v>0</v>
      </c>
      <c r="C23">
        <f t="shared" ref="C23:K23" si="54">C6</f>
        <v>1000</v>
      </c>
      <c r="D23">
        <f t="shared" si="54"/>
        <v>-0.61</v>
      </c>
      <c r="E23">
        <f t="shared" si="54"/>
        <v>339</v>
      </c>
      <c r="F23">
        <f t="shared" si="54"/>
        <v>0.54</v>
      </c>
      <c r="G23">
        <f t="shared" si="54"/>
        <v>105</v>
      </c>
      <c r="H23">
        <f t="shared" si="54"/>
        <v>1.4E-2</v>
      </c>
      <c r="I23">
        <f t="shared" si="54"/>
        <v>1.415</v>
      </c>
      <c r="J23">
        <f t="shared" si="54"/>
        <v>1.05</v>
      </c>
      <c r="K23">
        <f t="shared" si="54"/>
        <v>0.2</v>
      </c>
      <c r="L23">
        <v>0.67</v>
      </c>
      <c r="M23">
        <v>0.46</v>
      </c>
      <c r="N23">
        <v>-2.5</v>
      </c>
      <c r="O23">
        <f>O6</f>
        <v>0</v>
      </c>
      <c r="P23">
        <f t="shared" ref="P23:T23" si="55">P6</f>
        <v>1000</v>
      </c>
      <c r="Q23">
        <f t="shared" si="55"/>
        <v>-0.95</v>
      </c>
      <c r="R23">
        <f t="shared" si="55"/>
        <v>322</v>
      </c>
      <c r="S23">
        <f t="shared" si="55"/>
        <v>1.53</v>
      </c>
      <c r="T23">
        <f t="shared" si="55"/>
        <v>94</v>
      </c>
      <c r="U23">
        <v>0.73</v>
      </c>
      <c r="V23">
        <v>0.37</v>
      </c>
      <c r="W23">
        <v>-1.5</v>
      </c>
      <c r="X23">
        <f t="shared" ref="X23:AE23" si="56">X6</f>
        <v>1</v>
      </c>
      <c r="Y23">
        <f t="shared" si="56"/>
        <v>1</v>
      </c>
      <c r="Z23">
        <f t="shared" si="56"/>
        <v>5</v>
      </c>
      <c r="AA23">
        <f t="shared" si="56"/>
        <v>0.7</v>
      </c>
      <c r="AB23">
        <f t="shared" si="56"/>
        <v>6.0000000000000001E-3</v>
      </c>
      <c r="AC23">
        <f t="shared" si="56"/>
        <v>1.8</v>
      </c>
      <c r="AD23">
        <f t="shared" si="56"/>
        <v>1.075</v>
      </c>
      <c r="AE23">
        <f t="shared" si="56"/>
        <v>0.27</v>
      </c>
    </row>
    <row r="24" spans="1:31" x14ac:dyDescent="0.25">
      <c r="A24" t="s">
        <v>12</v>
      </c>
      <c r="B24">
        <f>B6</f>
        <v>0</v>
      </c>
      <c r="C24">
        <f t="shared" ref="C24:K24" si="57">C6</f>
        <v>1000</v>
      </c>
      <c r="D24">
        <f t="shared" si="57"/>
        <v>-0.61</v>
      </c>
      <c r="E24">
        <f t="shared" si="57"/>
        <v>339</v>
      </c>
      <c r="F24">
        <f t="shared" si="57"/>
        <v>0.54</v>
      </c>
      <c r="G24">
        <f t="shared" si="57"/>
        <v>105</v>
      </c>
      <c r="H24">
        <f t="shared" si="57"/>
        <v>1.4E-2</v>
      </c>
      <c r="I24">
        <f t="shared" si="57"/>
        <v>1.415</v>
      </c>
      <c r="J24">
        <f t="shared" si="57"/>
        <v>1.05</v>
      </c>
      <c r="K24">
        <f t="shared" si="57"/>
        <v>0.2</v>
      </c>
      <c r="L24">
        <v>0.47</v>
      </c>
      <c r="M24">
        <v>0.59</v>
      </c>
      <c r="N24">
        <v>-1.9</v>
      </c>
      <c r="O24">
        <f>O6</f>
        <v>0</v>
      </c>
      <c r="P24">
        <f t="shared" ref="P24:T24" si="58">P6</f>
        <v>1000</v>
      </c>
      <c r="Q24">
        <f t="shared" si="58"/>
        <v>-0.95</v>
      </c>
      <c r="R24">
        <f t="shared" si="58"/>
        <v>322</v>
      </c>
      <c r="S24">
        <f t="shared" si="58"/>
        <v>1.53</v>
      </c>
      <c r="T24">
        <f t="shared" si="58"/>
        <v>94</v>
      </c>
      <c r="U24">
        <v>0.63</v>
      </c>
      <c r="V24">
        <v>0.4</v>
      </c>
      <c r="W24">
        <v>-2.2000000000000002</v>
      </c>
      <c r="X24">
        <f t="shared" ref="X24:AE24" si="59">X6</f>
        <v>1</v>
      </c>
      <c r="Y24">
        <f t="shared" si="59"/>
        <v>1</v>
      </c>
      <c r="Z24">
        <f t="shared" si="59"/>
        <v>5</v>
      </c>
      <c r="AA24">
        <f t="shared" si="59"/>
        <v>0.7</v>
      </c>
      <c r="AB24">
        <f t="shared" si="59"/>
        <v>6.0000000000000001E-3</v>
      </c>
      <c r="AC24">
        <f t="shared" si="59"/>
        <v>1.8</v>
      </c>
      <c r="AD24">
        <f t="shared" si="59"/>
        <v>1.075</v>
      </c>
      <c r="AE24">
        <f t="shared" si="59"/>
        <v>0.27</v>
      </c>
    </row>
    <row r="25" spans="1:31" x14ac:dyDescent="0.25">
      <c r="A25" t="s">
        <v>13</v>
      </c>
      <c r="B25">
        <f>B6</f>
        <v>0</v>
      </c>
      <c r="C25">
        <f t="shared" ref="C25:K25" si="60">C6</f>
        <v>1000</v>
      </c>
      <c r="D25">
        <f t="shared" si="60"/>
        <v>-0.61</v>
      </c>
      <c r="E25">
        <f t="shared" si="60"/>
        <v>339</v>
      </c>
      <c r="F25">
        <f t="shared" si="60"/>
        <v>0.54</v>
      </c>
      <c r="G25">
        <f t="shared" si="60"/>
        <v>105</v>
      </c>
      <c r="H25">
        <f t="shared" si="60"/>
        <v>1.4E-2</v>
      </c>
      <c r="I25">
        <f t="shared" si="60"/>
        <v>1.415</v>
      </c>
      <c r="J25">
        <f t="shared" si="60"/>
        <v>1.05</v>
      </c>
      <c r="K25">
        <f t="shared" si="60"/>
        <v>0.2</v>
      </c>
      <c r="L25">
        <v>1.04</v>
      </c>
      <c r="M25">
        <v>0.66</v>
      </c>
      <c r="N25">
        <v>-8</v>
      </c>
      <c r="O25">
        <f>O6</f>
        <v>0</v>
      </c>
      <c r="P25">
        <f t="shared" ref="P25:T25" si="61">P6</f>
        <v>1000</v>
      </c>
      <c r="Q25">
        <f t="shared" si="61"/>
        <v>-0.95</v>
      </c>
      <c r="R25">
        <f t="shared" si="61"/>
        <v>322</v>
      </c>
      <c r="S25">
        <f t="shared" si="61"/>
        <v>1.53</v>
      </c>
      <c r="T25">
        <f t="shared" si="61"/>
        <v>94</v>
      </c>
      <c r="U25">
        <v>1.01</v>
      </c>
      <c r="V25">
        <v>0.4</v>
      </c>
      <c r="W25">
        <v>-7.7</v>
      </c>
      <c r="X25">
        <f t="shared" ref="X25:AE25" si="62">X6</f>
        <v>1</v>
      </c>
      <c r="Y25">
        <f t="shared" si="62"/>
        <v>1</v>
      </c>
      <c r="Z25">
        <f t="shared" si="62"/>
        <v>5</v>
      </c>
      <c r="AA25">
        <f t="shared" si="62"/>
        <v>0.7</v>
      </c>
      <c r="AB25">
        <f t="shared" si="62"/>
        <v>6.0000000000000001E-3</v>
      </c>
      <c r="AC25">
        <f t="shared" si="62"/>
        <v>1.8</v>
      </c>
      <c r="AD25">
        <f t="shared" si="62"/>
        <v>1.075</v>
      </c>
      <c r="AE25">
        <f t="shared" si="62"/>
        <v>0.27</v>
      </c>
    </row>
  </sheetData>
  <conditionalFormatting sqref="A1:XFD1048576">
    <cfRule type="expression" dxfId="0" priority="1">
      <formula>_xlfn.ISFORMULA(A1)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mbMixedEtasParams_20260526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Barall, Michael</cp:lastModifiedBy>
  <dcterms:created xsi:type="dcterms:W3CDTF">2025-02-05T01:42:29Z</dcterms:created>
  <dcterms:modified xsi:type="dcterms:W3CDTF">2026-05-26T18:37:03Z</dcterms:modified>
</cp:coreProperties>
</file>